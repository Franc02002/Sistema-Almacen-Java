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rga_Stock_Almacen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<sst xmlns="http://schemas.openxmlformats.org/spreadsheetml/2006/main" count="14" uniqueCount="14">
  <si>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Código de Barras (EAN)</t>
  </si>
  <si>
    <t xml:space="preserve">Nombre del Producto</t>
  </si>
  <si>
    <t xml:space="preserve">Cantidad a Sumar</t>
  </si>
  <si>
    <t xml:space="preserve">Precio Unitario ($)</t>
  </si>
  <si>
    <t xml:space="preserve">Valor Reposición ($) [Auto]</t>
  </si>
  <si>
    <t xml:space="preserve">Yerba Mate Tradicional 1Kg</t>
  </si>
  <si>
    <t xml:space="preserve">Aceite de Girasol Puro 900ml</t>
  </si>
  <si>
    <t xml:space="preserve">Fideos Tallarines Trigo Candial 500g</t>
  </si>
  <si>
    <t xml:space="preserve">Arroz Largo Fino 00000 1Kg</t>
  </si>
  <si>
    <t xml:space="preserve">Leche Entera Larga Vida 1L</t>
  </si>
  <si>
    <t xml:space="preserve">Gaseosa Cola 2.25L</t>
  </si>
  <si>
    <t xml:space="preserve">Detergente Lavavajillas Limón 750ml</t>
  </si>
  <si>
    <t xml:space="preserve">Atún al Natural en Lata 170g</t>
  </si>
  <si>
    <t xml:space="preserve">Total Lote de Reposición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</si>
</sst>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000000000000"/>
    <numFmt numFmtId="166" formatCode="#,##0"/>
    <numFmt numFmtId="167" formatCode="\$#,##0.00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b val="true"/>
      <sz val="11"/>
      <color rgb="FF1B365D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B365D"/>
        <bgColor rgb="FF333333"/>
      </patternFill>
    </fill>
    <fill>
      <patternFill patternType="solid">
        <fgColor rgb="FFF4F7FA"/>
        <bgColor rgb="FFF9F9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 diagonalUp="false" diagonalDown="false">
      <left/>
      <right/>
      <top style="thin">
        <color rgb="FF1B365D"/>
      </top>
      <bottom style="double">
        <color rgb="FF1B365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9F9F9"/>
      <rgbColor rgb="FFF4F7FA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B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Unidades a Sumar por Producto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Carga_Stock_Almacen!C1</c:f>
              <c:strCache>
                <c:ptCount val="1"/>
                <c:pt idx="0">
                  <c:v>Cantidad a Sumar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Carga_Stock_Almacen!$B$2:$B$9</c:f>
              <c:strCache>
                <c:ptCount val="8"/>
                <c:pt idx="0">
                  <c:v>Yerba Mate Tradicional 1Kg</c:v>
                </c:pt>
                <c:pt idx="1">
                  <c:v>Aceite de Girasol Puro 900ml</c:v>
                </c:pt>
                <c:pt idx="2">
                  <c:v>Fideos Tallarines Trigo Candial 500g</c:v>
                </c:pt>
                <c:pt idx="3">
                  <c:v>Arroz Largo Fino 00000 1Kg</c:v>
                </c:pt>
                <c:pt idx="4">
                  <c:v>Leche Entera Larga Vida 1L</c:v>
                </c:pt>
                <c:pt idx="5">
                  <c:v>Gaseosa Cola 2.25L</c:v>
                </c:pt>
                <c:pt idx="6">
                  <c:v>Detergente Lavavajillas Limón 750ml</c:v>
                </c:pt>
                <c:pt idx="7">
                  <c:v>Atún al Natural en Lata 170g</c:v>
                </c:pt>
              </c:strCache>
            </c:strRef>
          </c:cat>
          <c:val>
            <c:numRef>
              <c:f>Carga_Stock_Almacen!$C$2:$C$9</c:f>
              <c:numCache>
                <c:formatCode>General</c:formatCode>
                <c:ptCount val="8"/>
                <c:pt idx="0">
                  <c:v>20</c:v>
                </c:pt>
                <c:pt idx="1">
                  <c:v>15</c:v>
                </c:pt>
                <c:pt idx="2">
                  <c:v>30</c:v>
                </c:pt>
                <c:pt idx="3">
                  <c:v>25</c:v>
                </c:pt>
                <c:pt idx="4">
                  <c:v>40</c:v>
                </c:pt>
                <c:pt idx="5">
                  <c:v>18</c:v>
                </c:pt>
                <c:pt idx="6">
                  <c:v>12</c:v>
                </c:pt>
                <c:pt idx="7">
                  <c:v>10</c:v>
                </c:pt>
              </c:numCache>
            </c:numRef>
          </c:val>
        </c:ser>
        <c:gapWidth val="150"/>
        <c:overlap val="0"/>
        <c:axId val="68984950"/>
        <c:axId val="22522018"/>
      </c:barChart>
      <c:catAx>
        <c:axId val="6898495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Producto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522018"/>
        <c:crosses val="autoZero"/>
        <c:auto val="1"/>
        <c:lblAlgn val="ctr"/>
        <c:lblOffset val="100"/>
        <c:noMultiLvlLbl val="0"/>
      </c:catAx>
      <c:valAx>
        <c:axId val="225220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Unidades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98495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</xdr:row>
      <xdr:rowOff>0</xdr:rowOff>
    </xdr:from>
    <xdr:to>
      <xdr:col>3</xdr:col>
      <xdr:colOff>417960</xdr:colOff>
      <xdr:row>29</xdr:row>
      <xdr:rowOff>1440</xdr:rowOff>
    </xdr:to>
    <xdr:graphicFrame>
      <xdr:nvGraphicFramePr>
        <xdr:cNvPr id="0" name="Chart 1"/>
        <xdr:cNvGraphicFramePr/>
      </xdr:nvGraphicFramePr>
      <xdr:xfrm>
        <a:off x="0" y="296244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38"/>
    <col collapsed="false" customWidth="true" hidden="false" outlineLevel="0" max="3" min="3" style="0" width="21"/>
    <col collapsed="false" customWidth="true" hidden="false" outlineLevel="0" max="4" min="4" style="0" width="24"/>
    <col collapsed="false" customWidth="true" hidden="false" outlineLevel="0" max="5" min="5" style="0" width="32"/>
  </cols>
  <sheetData>
    <row r="1" customFormat="false" ht="25.5" hidden="false" customHeight="tru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customFormat="false" ht="19.5" hidden="false" customHeight="true" outlineLevel="0" collapsed="false">
      <c r="A2" s="3" t="n">
        <v>7790001001015</v>
      </c>
      <c r="B2" s="4" t="s">
        <v>5</v>
      </c>
      <c r="C2" s="5" t="n">
        <v>20</v>
      </c>
      <c r="D2" s="6" t="n">
        <v>4200</v>
      </c>
      <c r="E2" s="6" t="n">
        <f aca="false">C2*D2</f>
        <v>84000</v>
      </c>
    </row>
    <row r="3" customFormat="false" ht="19.5" hidden="false" customHeight="true" outlineLevel="0" collapsed="false">
      <c r="A3" s="7" t="n">
        <v>7790001001022</v>
      </c>
      <c r="B3" s="8" t="s">
        <v>6</v>
      </c>
      <c r="C3" s="9" t="n">
        <v>15</v>
      </c>
      <c r="D3" s="10" t="n">
        <v>2350</v>
      </c>
      <c r="E3" s="10" t="n">
        <f aca="false">C3*D3</f>
        <v>35250</v>
      </c>
    </row>
    <row r="4" customFormat="false" ht="19.5" hidden="false" customHeight="true" outlineLevel="0" collapsed="false">
      <c r="A4" s="3" t="n">
        <v>7790001001039</v>
      </c>
      <c r="B4" s="4" t="s">
        <v>7</v>
      </c>
      <c r="C4" s="5" t="n">
        <v>30</v>
      </c>
      <c r="D4" s="6" t="n">
        <v>1450</v>
      </c>
      <c r="E4" s="6" t="n">
        <f aca="false">C4*D4</f>
        <v>43500</v>
      </c>
    </row>
    <row r="5" customFormat="false" ht="19.5" hidden="false" customHeight="true" outlineLevel="0" collapsed="false">
      <c r="A5" s="7" t="n">
        <v>7790001001046</v>
      </c>
      <c r="B5" s="8" t="s">
        <v>8</v>
      </c>
      <c r="C5" s="9" t="n">
        <v>25</v>
      </c>
      <c r="D5" s="10" t="n">
        <v>1890</v>
      </c>
      <c r="E5" s="10" t="n">
        <f aca="false">C5*D5</f>
        <v>47250</v>
      </c>
    </row>
    <row r="6" customFormat="false" ht="19.5" hidden="false" customHeight="true" outlineLevel="0" collapsed="false">
      <c r="A6" s="3" t="n">
        <v>7790001001053</v>
      </c>
      <c r="B6" s="4" t="s">
        <v>9</v>
      </c>
      <c r="C6" s="5" t="n">
        <v>40</v>
      </c>
      <c r="D6" s="6" t="n">
        <v>1650</v>
      </c>
      <c r="E6" s="6" t="n">
        <f aca="false">C6*D6</f>
        <v>66000</v>
      </c>
    </row>
    <row r="7" customFormat="false" ht="19.5" hidden="false" customHeight="true" outlineLevel="0" collapsed="false">
      <c r="A7" s="7" t="n">
        <v>7790001001077</v>
      </c>
      <c r="B7" s="8" t="s">
        <v>10</v>
      </c>
      <c r="C7" s="9" t="n">
        <v>18</v>
      </c>
      <c r="D7" s="10" t="n">
        <v>3100</v>
      </c>
      <c r="E7" s="10" t="n">
        <f aca="false">C7*D7</f>
        <v>55800</v>
      </c>
    </row>
    <row r="8" customFormat="false" ht="19.5" hidden="false" customHeight="true" outlineLevel="0" collapsed="false">
      <c r="A8" s="3" t="n">
        <v>7790001001091</v>
      </c>
      <c r="B8" s="4" t="s">
        <v>11</v>
      </c>
      <c r="C8" s="5" t="n">
        <v>12</v>
      </c>
      <c r="D8" s="6" t="n">
        <v>2100</v>
      </c>
      <c r="E8" s="6" t="n">
        <f aca="false">C8*D8</f>
        <v>25200</v>
      </c>
    </row>
    <row r="9" customFormat="false" ht="19.5" hidden="false" customHeight="true" outlineLevel="0" collapsed="false">
      <c r="A9" s="7" t="n">
        <v>7790001001121</v>
      </c>
      <c r="B9" s="8" t="s">
        <v>12</v>
      </c>
      <c r="C9" s="9" t="n">
        <v>10</v>
      </c>
      <c r="D9" s="10" t="n">
        <v>3450</v>
      </c>
      <c r="E9" s="10" t="n">
        <f aca="false">C9*D9</f>
        <v>34500</v>
      </c>
    </row>
    <row r="10" customFormat="false" ht="21.75" hidden="false" customHeight="true" outlineLevel="0" collapsed="false">
      <c r="A10" s="11" t="n">
        <f aca="false">COUNT(A2:A9)</f>
        <v>8</v>
      </c>
      <c r="B10" s="12" t="s">
        <v>13</v>
      </c>
      <c r="C10" s="11" t="n">
        <f aca="false">SUM(C2:C9)</f>
        <v>170</v>
      </c>
      <c r="D10" s="13" t="n">
        <f aca="false">AVERAGE(D2:D9)</f>
        <v>2523.75</v>
      </c>
      <c r="E10" s="13" t="n">
        <f aca="false">SUM(E2:E9)</f>
        <v>391500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2026-10-16T22:26:54Z</dcterms:created>
  <dc:creator>openpyxl</dc:creator>
  <dc:description/>
  <dc:language>en-US</dc:language>
  <cp:lastModifiedBy/>
  <dcterms:modified xsi:type="dcterms:W3CDTF">2026-10-16T22:26:54Z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